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基础算例/"/>
    </mc:Choice>
  </mc:AlternateContent>
  <xr:revisionPtr revIDLastSave="170" documentId="13_ncr:1_{2CCE2E0A-08F3-4005-A0FE-92CCED8F8FEF}" xr6:coauthVersionLast="47" xr6:coauthVersionMax="47" xr10:uidLastSave="{D1F4DDA8-53DA-41AC-B0BB-DCC5E6B5A197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R3" i="1"/>
  <c r="R2" i="1"/>
  <c r="R22" i="1"/>
  <c r="R12" i="1"/>
  <c r="O22" i="1"/>
  <c r="O2" i="1"/>
  <c r="O12" i="1"/>
</calcChain>
</file>

<file path=xl/sharedStrings.xml><?xml version="1.0" encoding="utf-8"?>
<sst xmlns="http://schemas.openxmlformats.org/spreadsheetml/2006/main" count="111" uniqueCount="60">
  <si>
    <t>Instance Type</t>
  </si>
  <si>
    <t>Instance Name</t>
  </si>
  <si>
    <t>R</t>
  </si>
  <si>
    <t>C</t>
  </si>
  <si>
    <t>RC</t>
  </si>
  <si>
    <t>optimal_obj</t>
  </si>
  <si>
    <t>init_obj</t>
  </si>
  <si>
    <t>improvement</t>
  </si>
  <si>
    <t>iter_num</t>
  </si>
  <si>
    <t>time_elapsed</t>
  </si>
  <si>
    <t>R-4-3</t>
    <phoneticPr fontId="3" type="noConversion"/>
  </si>
  <si>
    <t>C-4-3</t>
    <phoneticPr fontId="3" type="noConversion"/>
  </si>
  <si>
    <t>Gurobi（3600s)</t>
    <phoneticPr fontId="3" type="noConversion"/>
  </si>
  <si>
    <t>Gap(%)</t>
  </si>
  <si>
    <t>global_optimal_time_var</t>
    <phoneticPr fontId="3" type="noConversion"/>
  </si>
  <si>
    <r>
      <t> </t>
    </r>
    <r>
      <rPr>
        <sz val="12"/>
        <color theme="1"/>
        <rFont val="Aptos"/>
        <family val="2"/>
      </rPr>
      <t>0.38</t>
    </r>
    <phoneticPr fontId="3" type="noConversion"/>
  </si>
  <si>
    <t>greedy</t>
  </si>
  <si>
    <t>GA</t>
  </si>
  <si>
    <t>post_recovery_time</t>
    <phoneticPr fontId="3" type="noConversion"/>
  </si>
  <si>
    <t>Gurobi</t>
    <phoneticPr fontId="3" type="noConversion"/>
  </si>
  <si>
    <t>post_recovery_GAP</t>
  </si>
  <si>
    <t>coverage node num</t>
    <phoneticPr fontId="3" type="noConversion"/>
  </si>
  <si>
    <t>coverage target number</t>
    <phoneticPr fontId="3" type="noConversion"/>
  </si>
  <si>
    <t>scale</t>
    <phoneticPr fontId="3" type="noConversion"/>
  </si>
  <si>
    <t>small scale</t>
    <phoneticPr fontId="3" type="noConversion"/>
  </si>
  <si>
    <t>middle scale</t>
    <phoneticPr fontId="3" type="noConversion"/>
  </si>
  <si>
    <t>large scale</t>
    <phoneticPr fontId="3" type="noConversion"/>
  </si>
  <si>
    <t>RC-4-3</t>
    <phoneticPr fontId="3" type="noConversion"/>
  </si>
  <si>
    <t>R-10-6</t>
    <phoneticPr fontId="3" type="noConversion"/>
  </si>
  <si>
    <t>R-10-9</t>
    <phoneticPr fontId="3" type="noConversion"/>
  </si>
  <si>
    <t>R-10-12</t>
    <phoneticPr fontId="3" type="noConversion"/>
  </si>
  <si>
    <t>R-20-6</t>
    <phoneticPr fontId="3" type="noConversion"/>
  </si>
  <si>
    <t>R-20-9</t>
    <phoneticPr fontId="3" type="noConversion"/>
  </si>
  <si>
    <t>R-20-12</t>
    <phoneticPr fontId="3" type="noConversion"/>
  </si>
  <si>
    <t>R-30-6</t>
    <phoneticPr fontId="3" type="noConversion"/>
  </si>
  <si>
    <t>R-30-9</t>
    <phoneticPr fontId="3" type="noConversion"/>
  </si>
  <si>
    <t>R-30-12</t>
    <phoneticPr fontId="3" type="noConversion"/>
  </si>
  <si>
    <t>C-10-6</t>
    <phoneticPr fontId="3" type="noConversion"/>
  </si>
  <si>
    <t>C-10-9</t>
    <phoneticPr fontId="3" type="noConversion"/>
  </si>
  <si>
    <t>C-10-12</t>
    <phoneticPr fontId="3" type="noConversion"/>
  </si>
  <si>
    <t>C-20-6</t>
    <phoneticPr fontId="3" type="noConversion"/>
  </si>
  <si>
    <t>C-20-9</t>
    <phoneticPr fontId="3" type="noConversion"/>
  </si>
  <si>
    <t>C-20-12</t>
    <phoneticPr fontId="3" type="noConversion"/>
  </si>
  <si>
    <t>C-30-6</t>
    <phoneticPr fontId="3" type="noConversion"/>
  </si>
  <si>
    <t>C-30-9</t>
    <phoneticPr fontId="3" type="noConversion"/>
  </si>
  <si>
    <t>C-30-12</t>
    <phoneticPr fontId="3" type="noConversion"/>
  </si>
  <si>
    <t>RC-10-6</t>
    <phoneticPr fontId="3" type="noConversion"/>
  </si>
  <si>
    <t>RC-10-9</t>
    <phoneticPr fontId="3" type="noConversion"/>
  </si>
  <si>
    <t>RC-10-12</t>
    <phoneticPr fontId="3" type="noConversion"/>
  </si>
  <si>
    <t>RC-20-6</t>
    <phoneticPr fontId="3" type="noConversion"/>
  </si>
  <si>
    <t>RC-20-9</t>
    <phoneticPr fontId="3" type="noConversion"/>
  </si>
  <si>
    <t>RC-20-12</t>
    <phoneticPr fontId="3" type="noConversion"/>
  </si>
  <si>
    <t>RC-30-6</t>
    <phoneticPr fontId="3" type="noConversion"/>
  </si>
  <si>
    <t>RC-30-9</t>
    <phoneticPr fontId="3" type="noConversion"/>
  </si>
  <si>
    <t>RC-30-12</t>
    <phoneticPr fontId="3" type="noConversion"/>
  </si>
  <si>
    <t>Instance name</t>
  </si>
  <si>
    <t>Init VNS obj</t>
  </si>
  <si>
    <t>Init VNS obj var</t>
  </si>
  <si>
    <t>Init GA obj</t>
  </si>
  <si>
    <t>Init Greedy 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</si>
</sst>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0.0%"/>
    <numFmt numFmtId="166" formatCode="0.00_ "/>
  </numFmts>
  <fonts count="8">
    <font>
      <sz val="11"/>
      <color theme="1"/>
      <name val="等线"/>
      <family val="2"/>
      <scheme val="minor"/>
    </font>
    <font>
      <sz val="11"/>
      <color theme="1"/>
      <name val="Aptos"/>
      <family val="2"/>
    </font>
    <font>
      <sz val="11"/>
      <color theme="1"/>
      <name val="等线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JetBrains Mono"/>
    </font>
    <font>
      <sz val="12"/>
      <color theme="1"/>
      <name val="Aptos"/>
      <family val="2"/>
    </font>
    <font>
      <sz val="12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21" fontId="1" fillId="2" borderId="2" xfId="0" applyNumberFormat="1" applyFont="1" applyFill="1" applyBorder="1" applyAlignment="1">
      <alignment vertical="center" wrapText="1"/>
    </xf>
    <xf numFmtId="21" fontId="1" fillId="2" borderId="5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vertical="center" wrapText="1"/>
    </xf>
    <xf numFmtId="165" fontId="1" fillId="2" borderId="5" xfId="0" applyNumberFormat="1" applyFont="1" applyFill="1" applyBorder="1" applyAlignment="1">
      <alignment vertical="center" wrapText="1"/>
    </xf>
    <xf numFmtId="165" fontId="1" fillId="2" borderId="17" xfId="0" applyNumberFormat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vertical="center" wrapText="1"/>
    </xf>
    <xf numFmtId="164" fontId="1" fillId="3" borderId="3" xfId="0" applyNumberFormat="1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vertical="center" wrapText="1"/>
    </xf>
    <xf numFmtId="0" fontId="5" fillId="3" borderId="0" xfId="0" applyFont="1" applyFill="1"/>
    <xf numFmtId="0" fontId="4" fillId="0" borderId="2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A95" zoomScaleNormal="100" workbookViewId="0">
      <selection activeCell="E122" sqref="E121:E122"/>
    </sheetView>
  </sheetViews>
  <sheetFormatPr defaultRowHeight="14.25"/>
  <cols>
    <col min="1" max="1" width="12.75" bestFit="1" customWidth="1"/>
    <col min="2" max="2" width="9" customWidth="1"/>
    <col min="3" max="3" width="19.875" bestFit="1" customWidth="1"/>
    <col min="4" max="4" width="19" customWidth="1"/>
    <col min="5" max="5" width="12.25" customWidth="1"/>
    <col min="6" max="7" width="13.625" customWidth="1"/>
    <col min="8" max="8" width="7.875" customWidth="1"/>
    <col min="9" max="9" width="12.375" customWidth="1"/>
    <col min="10" max="10" width="13.125" customWidth="1"/>
    <col min="11" max="12" width="13.625" customWidth="1"/>
    <col min="13" max="13" width="13.125" customWidth="1"/>
    <col min="14" max="14" width="8.625" customWidth="1"/>
    <col min="15" max="15" width="9" customWidth="1"/>
    <col min="16" max="16" width="12.375" customWidth="1"/>
    <col min="18" max="18" width="8.875" bestFit="1" customWidth="1"/>
  </cols>
  <sheetData>
    <row r="1" spans="1:18" ht="42.75">
      <c r="A1" s="1" t="s">
        <v>0</v>
      </c>
      <c r="B1" s="32" t="s">
        <v>21</v>
      </c>
      <c r="C1" s="1" t="s">
        <v>1</v>
      </c>
      <c r="D1" s="32" t="s">
        <v>22</v>
      </c>
      <c r="E1" s="33" t="s">
        <v>23</v>
      </c>
      <c r="F1" s="10" t="s">
        <v>5</v>
      </c>
      <c r="G1" s="2" t="s">
        <v>7</v>
      </c>
      <c r="H1" s="2" t="s">
        <v>8</v>
      </c>
      <c r="I1" s="2" t="s">
        <v>9</v>
      </c>
      <c r="J1" s="8" t="s">
        <v>14</v>
      </c>
      <c r="K1" s="2" t="s">
        <v>6</v>
      </c>
      <c r="L1" s="6" t="s">
        <v>17</v>
      </c>
      <c r="M1" s="8" t="s">
        <v>16</v>
      </c>
      <c r="N1" s="8" t="s">
        <v>12</v>
      </c>
      <c r="O1" s="15" t="s">
        <v>13</v>
      </c>
      <c r="P1" s="28" t="s">
        <v>18</v>
      </c>
      <c r="Q1" s="30" t="s">
        <v>19</v>
      </c>
      <c r="R1" s="30" t="s">
        <v>20</v>
      </c>
    </row>
    <row r="2" spans="1:18" ht="15" customHeight="1">
      <c r="A2" s="39" t="s">
        <v>2</v>
      </c>
      <c r="B2" s="13">
        <v>4</v>
      </c>
      <c r="C2" s="6" t="s">
        <v>10</v>
      </c>
      <c r="D2" s="6">
        <v>3</v>
      </c>
      <c r="E2" s="11" t="s">
        <v>24</v>
      </c>
      <c r="F2" s="20">
        <v>7.7241901302064502</v>
      </c>
      <c r="G2" s="6">
        <v>0.43490450685460302</v>
      </c>
      <c r="H2" s="6">
        <v>42.6</v>
      </c>
      <c r="I2" s="6">
        <v>6.9893988609313897</v>
      </c>
      <c r="J2" s="6">
        <v>1.55547291118495E-2</v>
      </c>
      <c r="K2" s="20">
        <v>13.6688227457143</v>
      </c>
      <c r="L2" s="20">
        <v>15.456304208782999</v>
      </c>
      <c r="M2" s="20">
        <v>12.5954275645741</v>
      </c>
      <c r="N2" s="24">
        <v>7.47</v>
      </c>
      <c r="O2" s="16">
        <f>(F2-N2)/N2</f>
        <v>3.4028129880381584E-2</v>
      </c>
      <c r="P2" s="29">
        <v>9.5008169541186493</v>
      </c>
      <c r="Q2" s="34">
        <v>9.4631799815853004</v>
      </c>
      <c r="R2">
        <f>(P2-Q2)/P2</f>
        <v>3.961445917241165E-3</v>
      </c>
    </row>
    <row r="3" spans="1:18" ht="15.75">
      <c r="A3" s="40"/>
      <c r="B3" s="35">
        <v>10</v>
      </c>
      <c r="C3" s="6" t="s">
        <v>28</v>
      </c>
      <c r="D3" s="6">
        <v>6</v>
      </c>
      <c r="E3" s="11" t="s">
        <v>25</v>
      </c>
      <c r="F3" s="20">
        <v>8.0344136151679493</v>
      </c>
      <c r="G3" s="6">
        <v>0.61542741359743203</v>
      </c>
      <c r="H3" s="6">
        <v>61</v>
      </c>
      <c r="I3" s="6">
        <v>58.976300430297798</v>
      </c>
      <c r="J3" s="6">
        <v>0</v>
      </c>
      <c r="K3" s="20">
        <v>20.891800141878999</v>
      </c>
      <c r="L3" s="20">
        <v>17.837590757853601</v>
      </c>
      <c r="M3" s="20">
        <v>19.431733224558499</v>
      </c>
      <c r="N3" s="24"/>
      <c r="O3" s="16"/>
      <c r="P3" s="29">
        <v>14.0895097456967</v>
      </c>
      <c r="Q3" s="31">
        <v>13.724960751503</v>
      </c>
      <c r="R3">
        <f>(P3-Q3)/Q3</f>
        <v>2.6561022708482398E-2</v>
      </c>
    </row>
    <row r="4" spans="1:18" ht="15">
      <c r="A4" s="40"/>
      <c r="B4" s="36"/>
      <c r="C4" s="6" t="s">
        <v>29</v>
      </c>
      <c r="D4" s="6">
        <v>9</v>
      </c>
      <c r="E4" s="11" t="s">
        <v>26</v>
      </c>
      <c r="F4" s="20">
        <v>11.707893309398701</v>
      </c>
      <c r="G4" s="6">
        <v>0.58780672147633695</v>
      </c>
      <c r="H4" s="6">
        <v>112</v>
      </c>
      <c r="I4" s="6">
        <v>315.25807137489301</v>
      </c>
      <c r="J4" s="6">
        <v>2.0972534650151098</v>
      </c>
      <c r="K4" s="20">
        <v>28.4038918619257</v>
      </c>
      <c r="L4" s="20">
        <v>28.779567330001399</v>
      </c>
      <c r="M4" s="20">
        <v>27.418436322860501</v>
      </c>
      <c r="N4" s="24"/>
      <c r="O4" s="16"/>
      <c r="P4" s="29">
        <v>15.600819464019001</v>
      </c>
    </row>
    <row r="5" spans="1:18" ht="15">
      <c r="A5" s="40"/>
      <c r="B5" s="38"/>
      <c r="C5" s="6" t="s">
        <v>30</v>
      </c>
      <c r="D5" s="6">
        <v>12</v>
      </c>
      <c r="E5" s="11" t="s">
        <v>26</v>
      </c>
      <c r="F5" s="20">
        <v>17.739210914873901</v>
      </c>
      <c r="G5" s="6">
        <v>0.46883868173176702</v>
      </c>
      <c r="H5" s="6">
        <v>102.2</v>
      </c>
      <c r="I5" s="6">
        <v>636.62897419929504</v>
      </c>
      <c r="J5" s="6">
        <v>10.4662380815766</v>
      </c>
      <c r="K5" s="20">
        <v>33.397030816757997</v>
      </c>
      <c r="L5" s="20">
        <v>30.855884838648599</v>
      </c>
      <c r="M5" s="20">
        <v>27.844662269957201</v>
      </c>
      <c r="N5" s="24"/>
      <c r="O5" s="16"/>
      <c r="P5" s="29">
        <v>25.308502135977701</v>
      </c>
    </row>
    <row r="6" spans="1:18" ht="15.75">
      <c r="A6" s="40"/>
      <c r="B6" s="35">
        <v>20</v>
      </c>
      <c r="C6" s="6" t="s">
        <v>31</v>
      </c>
      <c r="D6" s="6">
        <v>6</v>
      </c>
      <c r="E6" s="11" t="s">
        <v>25</v>
      </c>
      <c r="F6" s="20">
        <v>8.8763339457428199</v>
      </c>
      <c r="G6" s="6">
        <v>0.64754592073865302</v>
      </c>
      <c r="H6" s="6">
        <v>69</v>
      </c>
      <c r="I6" s="6">
        <v>111.34314260482699</v>
      </c>
      <c r="J6" s="6">
        <v>1.1190941880195</v>
      </c>
      <c r="K6" s="20">
        <v>25.184370015933201</v>
      </c>
      <c r="L6" s="20">
        <v>24.258586407984001</v>
      </c>
      <c r="M6" s="20">
        <v>17.742622957927999</v>
      </c>
      <c r="N6" s="24"/>
      <c r="O6" s="16"/>
      <c r="P6" s="29">
        <v>10.6843066632012</v>
      </c>
      <c r="Q6" s="31">
        <v>15.0779006687725</v>
      </c>
    </row>
    <row r="7" spans="1:18" ht="15">
      <c r="A7" s="40"/>
      <c r="B7" s="36"/>
      <c r="C7" s="6" t="s">
        <v>32</v>
      </c>
      <c r="D7" s="6">
        <v>9</v>
      </c>
      <c r="E7" s="11" t="s">
        <v>26</v>
      </c>
      <c r="F7" s="20">
        <v>13.497068609124501</v>
      </c>
      <c r="G7" s="6">
        <v>0.62267068274337301</v>
      </c>
      <c r="H7" s="6">
        <v>109.2</v>
      </c>
      <c r="I7" s="6">
        <v>482.45675973892202</v>
      </c>
      <c r="J7" s="6">
        <v>3.2425755444770402E-2</v>
      </c>
      <c r="K7" s="20">
        <v>35.769997166546602</v>
      </c>
      <c r="L7" s="20">
        <v>37.910582046269298</v>
      </c>
      <c r="M7" s="20">
        <v>31.2231555838801</v>
      </c>
      <c r="N7" s="24"/>
      <c r="O7" s="16"/>
      <c r="P7" s="29">
        <v>16.523113929312501</v>
      </c>
    </row>
    <row r="8" spans="1:18" ht="15">
      <c r="A8" s="40"/>
      <c r="B8" s="38"/>
      <c r="C8" s="6" t="s">
        <v>33</v>
      </c>
      <c r="D8" s="6">
        <v>12</v>
      </c>
      <c r="E8" s="11" t="s">
        <v>26</v>
      </c>
      <c r="F8" s="20">
        <v>19.9150491465107</v>
      </c>
      <c r="G8" s="6">
        <v>0.54893465567964606</v>
      </c>
      <c r="H8" s="6">
        <v>88</v>
      </c>
      <c r="I8" s="6">
        <v>587.04167594909597</v>
      </c>
      <c r="J8" s="6">
        <v>1.99982741774663</v>
      </c>
      <c r="K8" s="20">
        <v>44.151139956269198</v>
      </c>
      <c r="L8" s="20">
        <v>39.236754301102401</v>
      </c>
      <c r="M8" s="20">
        <v>38.435633226095099</v>
      </c>
      <c r="N8" s="24"/>
      <c r="O8" s="16"/>
      <c r="P8" s="29">
        <v>25.308502135977701</v>
      </c>
    </row>
    <row r="9" spans="1:18" ht="15">
      <c r="A9" s="40"/>
      <c r="B9" s="35">
        <v>30</v>
      </c>
      <c r="C9" s="6" t="s">
        <v>34</v>
      </c>
      <c r="D9" s="6">
        <v>6</v>
      </c>
      <c r="E9" s="11" t="s">
        <v>25</v>
      </c>
      <c r="F9" s="20">
        <v>9.3775714099696206</v>
      </c>
      <c r="G9" s="6">
        <v>0.68152082400743796</v>
      </c>
      <c r="H9" s="6">
        <v>65</v>
      </c>
      <c r="I9" s="6">
        <v>267.202467489242</v>
      </c>
      <c r="J9" s="6">
        <v>1.5127684616807</v>
      </c>
      <c r="K9" s="20">
        <v>29.4448495125114</v>
      </c>
      <c r="L9" s="20">
        <v>27.524467972722299</v>
      </c>
      <c r="M9" s="20">
        <v>18.6270782322283</v>
      </c>
      <c r="N9" s="24"/>
      <c r="O9" s="16"/>
      <c r="P9" s="29">
        <v>10.563000381308999</v>
      </c>
    </row>
    <row r="10" spans="1:18" ht="15">
      <c r="A10" s="40"/>
      <c r="B10" s="36"/>
      <c r="C10" s="6" t="s">
        <v>35</v>
      </c>
      <c r="D10" s="6">
        <v>9</v>
      </c>
      <c r="E10" s="11" t="s">
        <v>26</v>
      </c>
      <c r="F10" s="20">
        <v>14.570847497098899</v>
      </c>
      <c r="G10" s="6">
        <v>0.66204674687163501</v>
      </c>
      <c r="H10" s="6">
        <v>85.8</v>
      </c>
      <c r="I10" s="6">
        <v>649.77963805198601</v>
      </c>
      <c r="J10" s="6">
        <v>1.1565526796196299</v>
      </c>
      <c r="K10" s="20">
        <v>43.114979252957603</v>
      </c>
      <c r="L10" s="20">
        <v>43.310502051543303</v>
      </c>
      <c r="M10" s="20">
        <v>33.744689156568398</v>
      </c>
      <c r="N10" s="24"/>
      <c r="O10" s="16"/>
      <c r="P10" s="29">
        <v>16.094730569661198</v>
      </c>
    </row>
    <row r="11" spans="1:18" ht="15.75" thickBot="1">
      <c r="A11" s="41"/>
      <c r="B11" s="37"/>
      <c r="C11" s="7" t="s">
        <v>36</v>
      </c>
      <c r="D11" s="7">
        <v>12</v>
      </c>
      <c r="E11" s="12" t="s">
        <v>26</v>
      </c>
      <c r="F11" s="21">
        <v>19.484305442956799</v>
      </c>
      <c r="G11" s="7">
        <v>0.64366759187797595</v>
      </c>
      <c r="H11" s="7">
        <v>104.2</v>
      </c>
      <c r="I11" s="7">
        <v>777.92747540473897</v>
      </c>
      <c r="J11" s="7">
        <v>8.1000655599779403</v>
      </c>
      <c r="K11" s="22">
        <v>54.680138541551301</v>
      </c>
      <c r="L11" s="22">
        <v>45.850373061170203</v>
      </c>
      <c r="M11" s="22">
        <v>40.128462949695198</v>
      </c>
      <c r="N11" s="25"/>
      <c r="O11" s="17"/>
      <c r="P11" s="29">
        <v>26.240145468396399</v>
      </c>
    </row>
    <row r="12" spans="1:18" ht="16.5" thickTop="1">
      <c r="A12" s="42" t="s">
        <v>3</v>
      </c>
      <c r="B12" s="14">
        <v>4</v>
      </c>
      <c r="C12" s="9" t="s">
        <v>11</v>
      </c>
      <c r="D12" s="6">
        <v>3</v>
      </c>
      <c r="E12" s="11" t="s">
        <v>24</v>
      </c>
      <c r="F12" s="20">
        <v>7.6859437000235502</v>
      </c>
      <c r="G12" s="6">
        <v>0.338939130076232</v>
      </c>
      <c r="H12" s="6">
        <v>42.2</v>
      </c>
      <c r="I12" s="6">
        <v>7.7498156070709197</v>
      </c>
      <c r="J12" s="6">
        <v>7.06278568910641E-2</v>
      </c>
      <c r="K12" s="20">
        <v>11.6266807637697</v>
      </c>
      <c r="L12" s="20">
        <v>9.3355188491605094</v>
      </c>
      <c r="M12" s="20">
        <v>9.8994295480803203</v>
      </c>
      <c r="N12" s="26">
        <v>7.48</v>
      </c>
      <c r="O12" s="18">
        <f>(F12-N12)/N12</f>
        <v>2.7532580217052106E-2</v>
      </c>
      <c r="P12" s="29">
        <v>7.6842679378428098</v>
      </c>
      <c r="Q12" s="31">
        <v>7.2798999999999996</v>
      </c>
      <c r="R12">
        <f>(P12-Q12)/Q12</f>
        <v>5.5545809398866774E-2</v>
      </c>
    </row>
    <row r="13" spans="1:18" ht="15.75">
      <c r="A13" s="43"/>
      <c r="B13" s="36">
        <v>10</v>
      </c>
      <c r="C13" s="3" t="s">
        <v>37</v>
      </c>
      <c r="D13" s="1">
        <v>6</v>
      </c>
      <c r="E13" s="11" t="s">
        <v>25</v>
      </c>
      <c r="F13" s="20">
        <v>8.2786130510674205</v>
      </c>
      <c r="G13" s="6">
        <v>0.593949992093463</v>
      </c>
      <c r="H13" s="6">
        <v>60.8</v>
      </c>
      <c r="I13" s="6">
        <v>50.181827068328801</v>
      </c>
      <c r="J13" s="6">
        <v>1.1854087819747501</v>
      </c>
      <c r="K13" s="20">
        <v>20.388161285230101</v>
      </c>
      <c r="L13" s="20">
        <v>17.170110160275399</v>
      </c>
      <c r="M13" s="20">
        <v>18.502759304367899</v>
      </c>
      <c r="N13" s="24"/>
      <c r="O13" s="16"/>
      <c r="P13" s="29">
        <v>8.1804972135151406</v>
      </c>
      <c r="Q13" s="31">
        <v>25.664738521812101</v>
      </c>
    </row>
    <row r="14" spans="1:18" ht="15">
      <c r="A14" s="43"/>
      <c r="B14" s="36"/>
      <c r="C14" s="1" t="s">
        <v>38</v>
      </c>
      <c r="D14" s="1">
        <v>9</v>
      </c>
      <c r="E14" s="11" t="s">
        <v>26</v>
      </c>
      <c r="F14" s="20">
        <v>9.8176414096109408</v>
      </c>
      <c r="G14" s="6">
        <v>0.59938851525345105</v>
      </c>
      <c r="H14" s="6">
        <v>88.2</v>
      </c>
      <c r="I14" s="6">
        <v>138.52003879547101</v>
      </c>
      <c r="J14" s="6">
        <v>0.79195235229852301</v>
      </c>
      <c r="K14" s="20">
        <v>24.4940240095729</v>
      </c>
      <c r="L14" s="20">
        <v>23.2563809433295</v>
      </c>
      <c r="M14" s="20">
        <v>19.518771277915199</v>
      </c>
      <c r="N14" s="24"/>
      <c r="O14" s="16"/>
      <c r="P14" s="29">
        <v>12.660842593653699</v>
      </c>
    </row>
    <row r="15" spans="1:18" ht="15">
      <c r="A15" s="43"/>
      <c r="B15" s="38"/>
      <c r="C15" s="1" t="s">
        <v>39</v>
      </c>
      <c r="D15" s="1">
        <v>12</v>
      </c>
      <c r="E15" s="11" t="s">
        <v>26</v>
      </c>
      <c r="F15" s="20">
        <v>14.387756366884799</v>
      </c>
      <c r="G15" s="6">
        <v>0.476790147871609</v>
      </c>
      <c r="H15" s="6">
        <v>65</v>
      </c>
      <c r="I15" s="6">
        <v>273.36354928016601</v>
      </c>
      <c r="J15" s="6">
        <v>0.41452305299613501</v>
      </c>
      <c r="K15" s="20">
        <v>27.5017982304139</v>
      </c>
      <c r="L15" s="20">
        <v>28.1908143101364</v>
      </c>
      <c r="M15" s="20">
        <v>28.1368658520033</v>
      </c>
      <c r="N15" s="24"/>
      <c r="O15" s="16"/>
      <c r="P15" s="29">
        <v>16.247547681307601</v>
      </c>
    </row>
    <row r="16" spans="1:18" ht="15">
      <c r="A16" s="43"/>
      <c r="B16" s="35">
        <v>20</v>
      </c>
      <c r="C16" s="1" t="s">
        <v>40</v>
      </c>
      <c r="D16" s="1">
        <v>6</v>
      </c>
      <c r="E16" s="11" t="s">
        <v>25</v>
      </c>
      <c r="F16" s="20">
        <v>8.9832443665505792</v>
      </c>
      <c r="G16" s="6">
        <v>0.63448677457061597</v>
      </c>
      <c r="H16" s="6">
        <v>65.8</v>
      </c>
      <c r="I16" s="6">
        <v>87.586201667785602</v>
      </c>
      <c r="J16" s="6">
        <v>0.81635074312103195</v>
      </c>
      <c r="K16" s="20">
        <v>24.658916073177899</v>
      </c>
      <c r="L16" s="20">
        <v>22.266034483333499</v>
      </c>
      <c r="M16" s="20">
        <v>21.903650337675199</v>
      </c>
      <c r="N16" s="24"/>
      <c r="O16" s="16"/>
      <c r="P16" s="29">
        <v>11.9075696327416</v>
      </c>
    </row>
    <row r="17" spans="1:18" ht="15">
      <c r="A17" s="43"/>
      <c r="B17" s="36"/>
      <c r="C17" s="1" t="s">
        <v>41</v>
      </c>
      <c r="D17" s="1">
        <v>9</v>
      </c>
      <c r="E17" s="11" t="s">
        <v>26</v>
      </c>
      <c r="F17" s="20">
        <v>9.8515016517200102</v>
      </c>
      <c r="G17" s="6">
        <v>0.69015678653961099</v>
      </c>
      <c r="H17" s="6">
        <v>73.8</v>
      </c>
      <c r="I17" s="6">
        <v>187.43519253730699</v>
      </c>
      <c r="J17" s="6">
        <v>1.67689342381693</v>
      </c>
      <c r="K17" s="20">
        <v>31.835601804488</v>
      </c>
      <c r="L17" s="20">
        <v>26.411993743776499</v>
      </c>
      <c r="M17" s="20">
        <v>27.726491169718798</v>
      </c>
      <c r="N17" s="24"/>
      <c r="O17" s="16"/>
      <c r="P17" s="29">
        <v>14.5973185848461</v>
      </c>
    </row>
    <row r="18" spans="1:18" ht="15">
      <c r="A18" s="43"/>
      <c r="B18" s="38"/>
      <c r="C18" s="1" t="s">
        <v>42</v>
      </c>
      <c r="D18" s="1">
        <v>12</v>
      </c>
      <c r="E18" s="11" t="s">
        <v>26</v>
      </c>
      <c r="F18" s="20">
        <v>15.4799085484547</v>
      </c>
      <c r="G18" s="6">
        <v>0.57135076432822596</v>
      </c>
      <c r="H18" s="6">
        <v>76.8</v>
      </c>
      <c r="I18" s="6">
        <v>448.50018715858403</v>
      </c>
      <c r="J18" s="6">
        <v>0.39590445240326599</v>
      </c>
      <c r="K18" s="20">
        <v>36.124780876651698</v>
      </c>
      <c r="L18" s="20">
        <v>37.503788485628398</v>
      </c>
      <c r="M18" s="20">
        <v>33.738976805777398</v>
      </c>
      <c r="N18" s="24"/>
      <c r="O18" s="16"/>
      <c r="P18" s="29">
        <v>19.261950137967698</v>
      </c>
    </row>
    <row r="19" spans="1:18" ht="15">
      <c r="A19" s="43"/>
      <c r="B19" s="35">
        <v>30</v>
      </c>
      <c r="C19" s="1" t="s">
        <v>43</v>
      </c>
      <c r="D19" s="1">
        <v>6</v>
      </c>
      <c r="E19" s="11" t="s">
        <v>25</v>
      </c>
      <c r="F19" s="20">
        <v>8.7152518469371305</v>
      </c>
      <c r="G19" s="6">
        <v>0.70365166399675005</v>
      </c>
      <c r="H19" s="6">
        <v>52</v>
      </c>
      <c r="I19" s="6">
        <v>98.765915250778093</v>
      </c>
      <c r="J19" s="6">
        <v>1.03424267410858</v>
      </c>
      <c r="K19" s="20">
        <v>29.468790628198899</v>
      </c>
      <c r="L19" s="20">
        <v>27.5155401108516</v>
      </c>
      <c r="M19" s="20">
        <v>20.059740457634899</v>
      </c>
      <c r="N19" s="24"/>
      <c r="O19" s="16"/>
      <c r="P19" s="29">
        <v>14.4155262142457</v>
      </c>
    </row>
    <row r="20" spans="1:18" ht="15">
      <c r="A20" s="43"/>
      <c r="B20" s="36"/>
      <c r="C20" s="1" t="s">
        <v>44</v>
      </c>
      <c r="D20" s="1">
        <v>9</v>
      </c>
      <c r="E20" s="11" t="s">
        <v>26</v>
      </c>
      <c r="F20" s="20">
        <v>11.597494673180201</v>
      </c>
      <c r="G20" s="6">
        <v>0.70443426505045703</v>
      </c>
      <c r="H20" s="6">
        <v>81</v>
      </c>
      <c r="I20" s="6">
        <v>351.90842351913398</v>
      </c>
      <c r="J20" s="6">
        <v>2.0807868804918899</v>
      </c>
      <c r="K20" s="20">
        <v>39.271483494687999</v>
      </c>
      <c r="L20" s="20">
        <v>33.907708162186701</v>
      </c>
      <c r="M20" s="20">
        <v>26.641873448077199</v>
      </c>
      <c r="N20" s="24"/>
      <c r="O20" s="16"/>
      <c r="P20" s="29">
        <v>14.5973185848461</v>
      </c>
    </row>
    <row r="21" spans="1:18" ht="15.75" thickBot="1">
      <c r="A21" s="44"/>
      <c r="B21" s="37"/>
      <c r="C21" s="4" t="s">
        <v>45</v>
      </c>
      <c r="D21" s="4">
        <v>12</v>
      </c>
      <c r="E21" s="12" t="s">
        <v>26</v>
      </c>
      <c r="F21" s="22">
        <v>17.084704836168701</v>
      </c>
      <c r="G21" s="7">
        <v>0.61886668569940895</v>
      </c>
      <c r="H21" s="7">
        <v>94</v>
      </c>
      <c r="I21" s="7">
        <v>763.15482883453296</v>
      </c>
      <c r="J21" s="7">
        <v>0.35004081866151698</v>
      </c>
      <c r="K21" s="22">
        <v>44.828454734895601</v>
      </c>
      <c r="L21" s="22">
        <v>43.849287839445097</v>
      </c>
      <c r="M21" s="22">
        <v>39.048537951383501</v>
      </c>
      <c r="N21" s="25"/>
      <c r="O21" s="17"/>
      <c r="P21" s="29">
        <v>20.046852524906502</v>
      </c>
    </row>
    <row r="22" spans="1:18" ht="16.5" thickTop="1">
      <c r="A22" s="45" t="s">
        <v>4</v>
      </c>
      <c r="B22" s="5">
        <v>4</v>
      </c>
      <c r="C22" s="1" t="s">
        <v>27</v>
      </c>
      <c r="D22" s="1">
        <v>3</v>
      </c>
      <c r="E22" s="11" t="s">
        <v>24</v>
      </c>
      <c r="F22" s="20">
        <v>7.9531719182096303</v>
      </c>
      <c r="G22" s="19" t="s">
        <v>15</v>
      </c>
      <c r="H22" s="6">
        <v>36</v>
      </c>
      <c r="I22" s="6">
        <v>6.6981010437011701</v>
      </c>
      <c r="J22" s="6">
        <v>0.18284497196725299</v>
      </c>
      <c r="K22" s="20">
        <v>12.918191517728699</v>
      </c>
      <c r="L22" s="20">
        <v>10.846922880737001</v>
      </c>
      <c r="M22" s="20">
        <v>12.1517570585924</v>
      </c>
      <c r="N22" s="27">
        <v>7.8949999999999996</v>
      </c>
      <c r="O22" s="18">
        <f>(F22-N22)/N22</f>
        <v>7.3681973666410066E-3</v>
      </c>
      <c r="P22" s="34">
        <v>11.4746474684181</v>
      </c>
      <c r="Q22" s="31">
        <v>11.2746459199335</v>
      </c>
      <c r="R22">
        <f>(P22-Q22)/Q22</f>
        <v>1.7739053616841204E-2</v>
      </c>
    </row>
    <row r="23" spans="1:18" ht="15.75">
      <c r="A23" s="46"/>
      <c r="B23" s="35">
        <v>10</v>
      </c>
      <c r="C23" s="3" t="s">
        <v>46</v>
      </c>
      <c r="D23" s="1">
        <v>6</v>
      </c>
      <c r="E23" s="11" t="s">
        <v>25</v>
      </c>
      <c r="F23" s="23">
        <v>8.6752040705503894</v>
      </c>
      <c r="G23" s="6">
        <v>0.56674020530716995</v>
      </c>
      <c r="H23" s="6">
        <v>69.2</v>
      </c>
      <c r="I23" s="6">
        <v>56.912601327896098</v>
      </c>
      <c r="J23" s="6">
        <v>1.05758935858391</v>
      </c>
      <c r="K23" s="20">
        <v>20.023099712496698</v>
      </c>
      <c r="L23" s="20">
        <v>17.771255383596099</v>
      </c>
      <c r="M23" s="20">
        <v>18.516182846519101</v>
      </c>
      <c r="N23" s="24"/>
      <c r="O23" s="16"/>
      <c r="P23" s="29">
        <v>10.7133479514229</v>
      </c>
      <c r="Q23" s="31">
        <v>10.695949316876</v>
      </c>
      <c r="R23">
        <f>(P23-Q23)/Q23</f>
        <v>1.6266564127644966E-3</v>
      </c>
    </row>
    <row r="24" spans="1:18" ht="15">
      <c r="A24" s="46"/>
      <c r="B24" s="36"/>
      <c r="C24" s="1" t="s">
        <v>47</v>
      </c>
      <c r="D24" s="1">
        <v>9</v>
      </c>
      <c r="E24" s="11" t="s">
        <v>26</v>
      </c>
      <c r="F24" s="20">
        <v>9.7466403927195895</v>
      </c>
      <c r="G24" s="6">
        <v>0.55301745884754805</v>
      </c>
      <c r="H24" s="6">
        <v>116.8</v>
      </c>
      <c r="I24" s="6">
        <v>245.98469543457</v>
      </c>
      <c r="J24" s="6">
        <v>3.4155274886224697E-2</v>
      </c>
      <c r="K24" s="20">
        <v>21.806863093091899</v>
      </c>
      <c r="L24" s="20">
        <v>23.596219024338101</v>
      </c>
      <c r="M24" s="20">
        <v>20.931351341374601</v>
      </c>
      <c r="N24" s="24"/>
      <c r="O24" s="16"/>
      <c r="P24" s="29">
        <v>11.611176489100901</v>
      </c>
    </row>
    <row r="25" spans="1:18" ht="15">
      <c r="A25" s="46"/>
      <c r="B25" s="38"/>
      <c r="C25" s="1" t="s">
        <v>48</v>
      </c>
      <c r="D25" s="1">
        <v>12</v>
      </c>
      <c r="E25" s="11" t="s">
        <v>26</v>
      </c>
      <c r="F25" s="20">
        <v>13.5633974158764</v>
      </c>
      <c r="G25" s="6">
        <v>0.54557355981502098</v>
      </c>
      <c r="H25" s="6">
        <v>121.4</v>
      </c>
      <c r="I25" s="6">
        <v>272.11483964920001</v>
      </c>
      <c r="J25" s="6">
        <v>4.0863729351147997</v>
      </c>
      <c r="K25" s="20">
        <v>29.843544980866501</v>
      </c>
      <c r="L25" s="20">
        <v>32.878589609627099</v>
      </c>
      <c r="M25" s="20">
        <v>28.1368658520033</v>
      </c>
      <c r="N25" s="24"/>
      <c r="O25" s="16"/>
      <c r="P25" s="29">
        <v>12.088843679680201</v>
      </c>
    </row>
    <row r="26" spans="1:18" ht="15.75">
      <c r="A26" s="46"/>
      <c r="B26" s="35">
        <v>20</v>
      </c>
      <c r="C26" s="1" t="s">
        <v>49</v>
      </c>
      <c r="D26" s="1">
        <v>6</v>
      </c>
      <c r="E26" s="11" t="s">
        <v>25</v>
      </c>
      <c r="F26" s="20">
        <v>7.9691005418515504</v>
      </c>
      <c r="G26" s="6">
        <v>0.66086786301671696</v>
      </c>
      <c r="H26" s="6">
        <v>56.6</v>
      </c>
      <c r="I26" s="6">
        <v>73.116535282135004</v>
      </c>
      <c r="J26" s="6">
        <v>0.75439136159999698</v>
      </c>
      <c r="K26" s="20">
        <v>23.534802708857001</v>
      </c>
      <c r="L26" s="20">
        <v>21.120613361896101</v>
      </c>
      <c r="M26" s="20">
        <v>19.127214716962801</v>
      </c>
      <c r="N26" s="24"/>
      <c r="O26" s="16"/>
      <c r="P26" s="29">
        <v>9.9285941760153804</v>
      </c>
      <c r="Q26" s="31">
        <v>12.771631160518799</v>
      </c>
    </row>
    <row r="27" spans="1:18" ht="15">
      <c r="A27" s="46"/>
      <c r="B27" s="36"/>
      <c r="C27" s="1" t="s">
        <v>50</v>
      </c>
      <c r="D27" s="1">
        <v>9</v>
      </c>
      <c r="E27" s="11" t="s">
        <v>26</v>
      </c>
      <c r="F27" s="20">
        <v>10.063067922537099</v>
      </c>
      <c r="G27" s="6">
        <v>0.63521633294211099</v>
      </c>
      <c r="H27" s="6">
        <v>96.8</v>
      </c>
      <c r="I27" s="6">
        <v>288.585991001129</v>
      </c>
      <c r="J27" s="6">
        <v>0.97758382641377395</v>
      </c>
      <c r="K27" s="20">
        <v>27.5528849410886</v>
      </c>
      <c r="L27" s="20">
        <v>25.671905644666001</v>
      </c>
      <c r="M27" s="20">
        <v>24.731711057606802</v>
      </c>
      <c r="N27" s="24"/>
      <c r="O27" s="16"/>
      <c r="P27" s="29">
        <v>10.4680042936138</v>
      </c>
    </row>
    <row r="28" spans="1:18" ht="15">
      <c r="A28" s="46"/>
      <c r="B28" s="38"/>
      <c r="C28" s="1" t="s">
        <v>51</v>
      </c>
      <c r="D28" s="1">
        <v>12</v>
      </c>
      <c r="E28" s="11" t="s">
        <v>26</v>
      </c>
      <c r="F28" s="20">
        <v>15.1376378932951</v>
      </c>
      <c r="G28" s="6">
        <v>0.60681772980620396</v>
      </c>
      <c r="H28" s="6">
        <v>142.80000000000001</v>
      </c>
      <c r="I28" s="6">
        <v>598.44088754653899</v>
      </c>
      <c r="J28" s="6">
        <v>0.40077050602778702</v>
      </c>
      <c r="K28" s="20">
        <v>38.501232320721101</v>
      </c>
      <c r="L28" s="20">
        <v>39.515350315684003</v>
      </c>
      <c r="M28" s="20">
        <v>33.738976805777398</v>
      </c>
      <c r="N28" s="24"/>
      <c r="O28" s="16"/>
      <c r="P28" s="29">
        <v>25.233624169949099</v>
      </c>
    </row>
    <row r="29" spans="1:18" ht="15">
      <c r="A29" s="46"/>
      <c r="B29" s="35">
        <v>30</v>
      </c>
      <c r="C29" s="1" t="s">
        <v>52</v>
      </c>
      <c r="D29" s="1">
        <v>6</v>
      </c>
      <c r="E29" s="11" t="s">
        <v>25</v>
      </c>
      <c r="F29" s="20">
        <v>8.5963296962239006</v>
      </c>
      <c r="G29" s="6">
        <v>0.68303969629074901</v>
      </c>
      <c r="H29" s="6">
        <v>60.4</v>
      </c>
      <c r="I29" s="6">
        <v>112.131736278533</v>
      </c>
      <c r="J29" s="6">
        <v>0.41962566451727601</v>
      </c>
      <c r="K29" s="20">
        <v>27.3326132608011</v>
      </c>
      <c r="L29" s="20">
        <v>25.595628646442002</v>
      </c>
      <c r="M29" s="20">
        <v>18.448499617013901</v>
      </c>
      <c r="N29" s="24"/>
      <c r="O29" s="16"/>
      <c r="P29" s="29">
        <v>11.2451832999348</v>
      </c>
    </row>
    <row r="30" spans="1:18" ht="15">
      <c r="A30" s="46"/>
      <c r="B30" s="36"/>
      <c r="C30" s="1" t="s">
        <v>53</v>
      </c>
      <c r="D30" s="1">
        <v>9</v>
      </c>
      <c r="E30" s="11" t="s">
        <v>26</v>
      </c>
      <c r="F30" s="20">
        <v>10.6530670394054</v>
      </c>
      <c r="G30" s="6">
        <v>0.70084581573733895</v>
      </c>
      <c r="H30" s="6">
        <v>72.400000000000006</v>
      </c>
      <c r="I30" s="6">
        <v>269.43439893722501</v>
      </c>
      <c r="J30" s="6">
        <v>0.153026142619762</v>
      </c>
      <c r="K30" s="20">
        <v>35.744382719200999</v>
      </c>
      <c r="L30" s="20">
        <v>40.267476628826202</v>
      </c>
      <c r="M30" s="20">
        <v>27.6773871231971</v>
      </c>
      <c r="N30" s="24"/>
      <c r="O30" s="16"/>
      <c r="P30" s="29">
        <v>14.104586133291599</v>
      </c>
    </row>
    <row r="31" spans="1:18" ht="15.75" thickBot="1">
      <c r="A31" s="47"/>
      <c r="B31" s="37"/>
      <c r="C31" s="4" t="s">
        <v>54</v>
      </c>
      <c r="D31" s="4">
        <v>12</v>
      </c>
      <c r="E31" s="12" t="s">
        <v>26</v>
      </c>
      <c r="F31" s="4">
        <v>19.450734246114202</v>
      </c>
      <c r="G31" s="4">
        <v>0.55634850893589805</v>
      </c>
      <c r="H31" s="4">
        <v>105.2</v>
      </c>
      <c r="I31" s="4">
        <v>655.466961336135</v>
      </c>
      <c r="J31" s="4">
        <v>7.5649569750019898</v>
      </c>
      <c r="K31" s="22">
        <v>43.758560215252601</v>
      </c>
      <c r="L31" s="22">
        <v>48.170504872564898</v>
      </c>
      <c r="M31" s="22">
        <v>39.048537951383501</v>
      </c>
      <c r="N31" s="25"/>
      <c r="O31" s="17"/>
      <c r="P31" s="29">
        <v>19.339820630430001</v>
      </c>
    </row>
    <row r="32" spans="1:18" ht="15" thickTop="1"/>
    <row r="33" spans="1:8" ht="42.75">
      <c r="A33" t="s">
        <v>55</v>
      </c>
      <c r="B33" s="10" t="s">
        <v>56</v>
      </c>
      <c r="C33" s="2" t="s">
        <v>7</v>
      </c>
      <c r="D33" s="2" t="s">
        <v>9</v>
      </c>
      <c r="E33" s="8" t="s">
        <v>57</v>
      </c>
      <c r="F33" s="6" t="s">
        <v>58</v>
      </c>
      <c r="G33" s="8" t="s">
        <v>59</v>
      </c>
      <c r="H33" s="28" t="s">
        <v>18</v>
      </c>
    </row>
    <row r="34" spans="1:8" ht="15">
      <c r="A34" s="6" t="s">
        <v>34</v>
      </c>
      <c r="B34" s="20">
        <v>9.3775714099696206</v>
      </c>
      <c r="C34" s="6">
        <v>0.68152082400743796</v>
      </c>
      <c r="D34" s="6">
        <v>267.202467489242</v>
      </c>
      <c r="E34" s="6">
        <v>1.5127684616807</v>
      </c>
      <c r="F34" s="20">
        <v>27.524467972722299</v>
      </c>
      <c r="G34" s="20">
        <v>18.6270782322283</v>
      </c>
      <c r="H34" s="29">
        <v>10.563000381308999</v>
      </c>
    </row>
    <row r="35" spans="1:8" ht="15">
      <c r="A35" s="1" t="s">
        <v>43</v>
      </c>
      <c r="B35" s="20">
        <v>8.7152518469371305</v>
      </c>
      <c r="C35" s="6">
        <v>0.70365166399675005</v>
      </c>
      <c r="D35" s="6">
        <v>98.765915250778093</v>
      </c>
      <c r="E35" s="6">
        <v>1.03424267410858</v>
      </c>
      <c r="F35" s="20">
        <v>27.5155401108516</v>
      </c>
      <c r="G35" s="20">
        <v>20.059740457634899</v>
      </c>
      <c r="H35" s="29">
        <v>14.4155262142457</v>
      </c>
    </row>
    <row r="36" spans="1:8" ht="15">
      <c r="A36" s="1" t="s">
        <v>52</v>
      </c>
      <c r="B36" s="20">
        <v>8.5963296962239006</v>
      </c>
      <c r="C36" s="6">
        <v>0.68303969629074901</v>
      </c>
      <c r="D36" s="6">
        <v>112.131736278533</v>
      </c>
      <c r="E36" s="6">
        <v>0.41962566451727601</v>
      </c>
      <c r="F36" s="20">
        <v>25.595628646442002</v>
      </c>
      <c r="G36" s="20">
        <v>18.448499617013901</v>
      </c>
      <c r="H36" s="29">
        <v>11.2451832999348</v>
      </c>
    </row>
    <row r="37" spans="1:8" ht="15">
      <c r="A37" s="6" t="s">
        <v>29</v>
      </c>
      <c r="B37" s="20">
        <v>11.707893309398701</v>
      </c>
      <c r="C37" s="6">
        <v>0.58780672147633695</v>
      </c>
      <c r="D37" s="6">
        <v>315.25807137489301</v>
      </c>
      <c r="E37" s="6">
        <v>2.0972534650151098</v>
      </c>
      <c r="F37" s="20">
        <v>28.779567330001399</v>
      </c>
      <c r="G37" s="20">
        <v>27.418436322860501</v>
      </c>
      <c r="H37" s="29">
        <v>15.600819464019001</v>
      </c>
    </row>
    <row r="38" spans="1:8" ht="15">
      <c r="A38" s="1" t="s">
        <v>38</v>
      </c>
      <c r="B38" s="20">
        <v>9.8176414096109408</v>
      </c>
      <c r="C38" s="6">
        <v>0.59938851525345105</v>
      </c>
      <c r="D38" s="6">
        <v>138.52003879547101</v>
      </c>
      <c r="E38" s="6">
        <v>0.79195235229852301</v>
      </c>
      <c r="F38" s="20">
        <v>23.2563809433295</v>
      </c>
      <c r="G38" s="20">
        <v>19.518771277915199</v>
      </c>
      <c r="H38" s="29">
        <v>12.660842593653699</v>
      </c>
    </row>
    <row r="39" spans="1:8" ht="15">
      <c r="A39" s="1" t="s">
        <v>47</v>
      </c>
      <c r="B39" s="20">
        <v>9.7466403927195895</v>
      </c>
      <c r="C39" s="6">
        <v>0.55301745884754805</v>
      </c>
      <c r="D39" s="6">
        <v>245.98469543457</v>
      </c>
      <c r="E39" s="6">
        <v>3.4155274886224697E-2</v>
      </c>
      <c r="F39" s="20">
        <v>23.596219024338101</v>
      </c>
      <c r="G39" s="20">
        <v>20.931351341374601</v>
      </c>
      <c r="H39" s="29">
        <v>11.611176489100901</v>
      </c>
    </row>
    <row r="40" spans="1:8" ht="15">
      <c r="A40" s="6" t="s">
        <v>32</v>
      </c>
      <c r="B40" s="20">
        <v>13.497068609124501</v>
      </c>
      <c r="C40" s="6">
        <v>0.62267068274337301</v>
      </c>
      <c r="D40" s="6">
        <v>482.45675973892202</v>
      </c>
      <c r="E40" s="6">
        <v>3.2425755444770402E-2</v>
      </c>
      <c r="F40" s="20">
        <v>37.910582046269298</v>
      </c>
      <c r="G40" s="20">
        <v>31.2231555838801</v>
      </c>
      <c r="H40" s="29">
        <v>16.523113929312501</v>
      </c>
    </row>
    <row r="41" spans="1:8" ht="15">
      <c r="A41" s="1" t="s">
        <v>41</v>
      </c>
      <c r="B41" s="20">
        <v>9.8515016517200102</v>
      </c>
      <c r="C41" s="6">
        <v>0.69015678653961099</v>
      </c>
      <c r="D41" s="6">
        <v>187.43519253730699</v>
      </c>
      <c r="E41" s="6">
        <v>1.67689342381693</v>
      </c>
      <c r="F41" s="20">
        <v>26.411993743776499</v>
      </c>
      <c r="G41" s="20">
        <v>27.726491169718798</v>
      </c>
      <c r="H41" s="29">
        <v>14.5973185848461</v>
      </c>
    </row>
    <row r="42" spans="1:8" ht="15">
      <c r="A42" s="1" t="s">
        <v>50</v>
      </c>
      <c r="B42" s="20">
        <v>10.063067922537099</v>
      </c>
      <c r="C42" s="6">
        <v>0.63521633294211099</v>
      </c>
      <c r="D42" s="6">
        <v>288.585991001129</v>
      </c>
      <c r="E42" s="6">
        <v>0.97758382641377395</v>
      </c>
      <c r="F42" s="20">
        <v>25.671905644666001</v>
      </c>
      <c r="G42" s="20">
        <v>24.731711057606802</v>
      </c>
      <c r="H42" s="29">
        <v>10.4680042936138</v>
      </c>
    </row>
    <row r="43" spans="1:8" ht="15">
      <c r="A43" s="6" t="s">
        <v>35</v>
      </c>
      <c r="B43" s="20">
        <v>14.570847497098899</v>
      </c>
      <c r="C43" s="6">
        <v>0.66204674687163501</v>
      </c>
      <c r="D43" s="6">
        <v>649.77963805198601</v>
      </c>
      <c r="E43" s="6">
        <v>1.1565526796196299</v>
      </c>
      <c r="F43" s="20">
        <v>43.310502051543303</v>
      </c>
      <c r="G43" s="20">
        <v>33.744689156568398</v>
      </c>
      <c r="H43" s="29">
        <v>16.094730569661198</v>
      </c>
    </row>
    <row r="44" spans="1:8" ht="15">
      <c r="A44" s="1" t="s">
        <v>44</v>
      </c>
      <c r="B44" s="20">
        <v>11.597494673180201</v>
      </c>
      <c r="C44" s="6">
        <v>0.70443426505045703</v>
      </c>
      <c r="D44" s="6">
        <v>351.90842351913398</v>
      </c>
      <c r="E44" s="6">
        <v>2.0807868804918899</v>
      </c>
      <c r="F44" s="20">
        <v>33.907708162186701</v>
      </c>
      <c r="G44" s="20">
        <v>26.641873448077199</v>
      </c>
      <c r="H44" s="29">
        <v>14.5973185848461</v>
      </c>
    </row>
    <row r="45" spans="1:8" ht="15">
      <c r="A45" s="1" t="s">
        <v>53</v>
      </c>
      <c r="B45" s="20">
        <v>10.6530670394054</v>
      </c>
      <c r="C45" s="6">
        <v>0.70084581573733895</v>
      </c>
      <c r="D45" s="6">
        <v>269.43439893722501</v>
      </c>
      <c r="E45" s="6">
        <v>0.153026142619762</v>
      </c>
      <c r="F45" s="20">
        <v>40.267476628826202</v>
      </c>
      <c r="G45" s="20">
        <v>27.6773871231971</v>
      </c>
      <c r="H45" s="29">
        <v>14.104586133291599</v>
      </c>
    </row>
    <row r="46" spans="1:8" ht="15">
      <c r="A46" s="6" t="s">
        <v>30</v>
      </c>
      <c r="B46" s="20">
        <v>17.739210914873901</v>
      </c>
      <c r="C46" s="6">
        <v>0.46883868173176702</v>
      </c>
      <c r="D46" s="6">
        <v>636.62897419929504</v>
      </c>
      <c r="E46" s="6">
        <v>10.4662380815766</v>
      </c>
      <c r="F46" s="20">
        <v>30.855884838648599</v>
      </c>
      <c r="G46" s="20">
        <v>27.844662269957201</v>
      </c>
      <c r="H46" s="29">
        <v>25.308502135977701</v>
      </c>
    </row>
    <row r="47" spans="1:8" ht="15">
      <c r="A47" s="1" t="s">
        <v>39</v>
      </c>
      <c r="B47" s="20">
        <v>14.387756366884799</v>
      </c>
      <c r="C47" s="6">
        <v>0.476790147871609</v>
      </c>
      <c r="D47" s="6">
        <v>273.36354928016601</v>
      </c>
      <c r="E47" s="6">
        <v>0.41452305299613501</v>
      </c>
      <c r="F47" s="20">
        <v>28.1908143101364</v>
      </c>
      <c r="G47" s="20">
        <v>28.1368658520033</v>
      </c>
      <c r="H47" s="29">
        <v>16.247547681307601</v>
      </c>
    </row>
    <row r="48" spans="1:8" ht="15">
      <c r="A48" s="1" t="s">
        <v>48</v>
      </c>
      <c r="B48" s="20">
        <v>13.5633974158764</v>
      </c>
      <c r="C48" s="6">
        <v>0.54557355981502098</v>
      </c>
      <c r="D48" s="6">
        <v>272.11483964920001</v>
      </c>
      <c r="E48" s="6">
        <v>4.0863729351147997</v>
      </c>
      <c r="F48" s="20">
        <v>32.878589609627099</v>
      </c>
      <c r="G48" s="20">
        <v>28.1368658520033</v>
      </c>
      <c r="H48" s="29">
        <v>12.088843679680201</v>
      </c>
    </row>
    <row r="49" spans="1:8" ht="15">
      <c r="A49" s="6" t="s">
        <v>33</v>
      </c>
      <c r="B49" s="20">
        <v>19.9150491465107</v>
      </c>
      <c r="C49" s="6">
        <v>0.54893465567964606</v>
      </c>
      <c r="D49" s="6">
        <v>587.04167594909597</v>
      </c>
      <c r="E49" s="6">
        <v>1.99982741774663</v>
      </c>
      <c r="F49" s="20">
        <v>39.236754301102401</v>
      </c>
      <c r="G49" s="20">
        <v>38.435633226095099</v>
      </c>
      <c r="H49" s="29">
        <v>25.308502135977701</v>
      </c>
    </row>
    <row r="50" spans="1:8" ht="15">
      <c r="A50" s="1" t="s">
        <v>42</v>
      </c>
      <c r="B50" s="20">
        <v>15.4799085484547</v>
      </c>
      <c r="C50" s="6">
        <v>0.57135076432822596</v>
      </c>
      <c r="D50" s="6">
        <v>448.50018715858403</v>
      </c>
      <c r="E50" s="6">
        <v>0.39590445240326599</v>
      </c>
      <c r="F50" s="20">
        <v>37.503788485628398</v>
      </c>
      <c r="G50" s="20">
        <v>33.738976805777398</v>
      </c>
      <c r="H50" s="29">
        <v>19.261950137967698</v>
      </c>
    </row>
    <row r="51" spans="1:8" ht="15">
      <c r="A51" s="1" t="s">
        <v>51</v>
      </c>
      <c r="B51" s="20">
        <v>15.1376378932951</v>
      </c>
      <c r="C51" s="6">
        <v>0.60681772980620396</v>
      </c>
      <c r="D51" s="6">
        <v>598.44088754653899</v>
      </c>
      <c r="E51" s="6">
        <v>0.40077050602778702</v>
      </c>
      <c r="F51" s="20">
        <v>39.515350315684003</v>
      </c>
      <c r="G51" s="20">
        <v>33.738976805777398</v>
      </c>
      <c r="H51" s="29">
        <v>25.233624169949099</v>
      </c>
    </row>
    <row r="52" spans="1:8" ht="15.75" thickBot="1">
      <c r="A52" s="7" t="s">
        <v>36</v>
      </c>
      <c r="B52" s="21">
        <v>19.484305442956799</v>
      </c>
      <c r="C52" s="7">
        <v>0.64366759187797595</v>
      </c>
      <c r="D52" s="7">
        <v>777.92747540473897</v>
      </c>
      <c r="E52" s="7">
        <v>8.1000655599779403</v>
      </c>
      <c r="F52" s="22">
        <v>45.850373061170203</v>
      </c>
      <c r="G52" s="22">
        <v>40.128462949695198</v>
      </c>
      <c r="H52" s="29">
        <v>26.240145468396399</v>
      </c>
    </row>
    <row r="53" spans="1:8" ht="16.5" thickTop="1" thickBot="1">
      <c r="A53" s="4" t="s">
        <v>45</v>
      </c>
      <c r="B53" s="22">
        <v>17.084704836168701</v>
      </c>
      <c r="C53" s="7">
        <v>0.61886668569940895</v>
      </c>
      <c r="D53" s="7">
        <v>763.15482883453296</v>
      </c>
      <c r="E53" s="7">
        <v>0.35004081866151698</v>
      </c>
      <c r="F53" s="22">
        <v>43.849287839445097</v>
      </c>
      <c r="G53" s="22">
        <v>39.048537951383501</v>
      </c>
      <c r="H53" s="29">
        <v>20.046852524906502</v>
      </c>
    </row>
    <row r="54" spans="1:8" ht="16.5" thickTop="1" thickBot="1">
      <c r="A54" s="4" t="s">
        <v>54</v>
      </c>
      <c r="B54" s="4">
        <v>19.450734246114202</v>
      </c>
      <c r="C54" s="4">
        <v>0.55634850893589805</v>
      </c>
      <c r="D54" s="4">
        <v>655.466961336135</v>
      </c>
      <c r="E54" s="4">
        <v>7.5649569750019898</v>
      </c>
      <c r="F54" s="22">
        <v>48.170504872564898</v>
      </c>
      <c r="G54" s="22">
        <v>39.048537951383501</v>
      </c>
      <c r="H54" s="29">
        <v>19.339820630430001</v>
      </c>
    </row>
    <row r="55" spans="1:8" ht="15" thickTop="1"/>
  </sheetData>
  <mergeCells count="12">
    <mergeCell ref="B19:B21"/>
    <mergeCell ref="B23:B25"/>
    <mergeCell ref="B26:B28"/>
    <mergeCell ref="B29:B31"/>
    <mergeCell ref="A2:A11"/>
    <mergeCell ref="A12:A21"/>
    <mergeCell ref="A22:A31"/>
    <mergeCell ref="B3:B5"/>
    <mergeCell ref="B6:B8"/>
    <mergeCell ref="B9:B11"/>
    <mergeCell ref="B13:B15"/>
    <mergeCell ref="B16:B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2025-11-05T12:37:02Z</dcterms:modified>
</cp:coreProperties>
</file>